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ople.ey.com/personal/paulina_cieloch_gds_ey_com/Documents/Desktop/"/>
    </mc:Choice>
  </mc:AlternateContent>
  <xr:revisionPtr revIDLastSave="84" documentId="8_{857A8032-4AB4-4514-BCF1-B8490B936D41}" xr6:coauthVersionLast="47" xr6:coauthVersionMax="47" xr10:uidLastSave="{D37F4EA5-B72B-4279-884B-57B9C5577FAB}"/>
  <bookViews>
    <workbookView xWindow="-110" yWindow="-110" windowWidth="38620" windowHeight="21220" xr2:uid="{00000000-000D-0000-FFFF-FFFF00000000}"/>
  </bookViews>
  <sheets>
    <sheet name="Payment status" sheetId="1" r:id="rId1"/>
    <sheet name="Liability by company" sheetId="2" r:id="rId2"/>
  </sheets>
  <definedNames>
    <definedName name="_xlnm._FilterDatabase" localSheetId="1" hidden="1">'Liability by company'!$A$5:$C$5</definedName>
    <definedName name="_xlnm._FilterDatabase" localSheetId="0" hidden="1">'Payment status'!$A$5:$K$5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2" l="1"/>
  <c r="C15" i="2"/>
  <c r="C10" i="2"/>
  <c r="C7" i="2"/>
  <c r="C8" i="2"/>
  <c r="C9" i="2"/>
  <c r="C11" i="2"/>
  <c r="C12" i="2"/>
  <c r="C13" i="2"/>
  <c r="C14" i="2"/>
  <c r="C16" i="2"/>
  <c r="C17" i="2"/>
  <c r="C19" i="2"/>
  <c r="C20" i="2"/>
  <c r="C21" i="2"/>
  <c r="C22" i="2"/>
  <c r="C23" i="2"/>
  <c r="C24" i="2"/>
  <c r="C25" i="2"/>
  <c r="C6" i="2"/>
  <c r="F52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7" i="1"/>
  <c r="F6" i="1"/>
</calcChain>
</file>

<file path=xl/sharedStrings.xml><?xml version="1.0" encoding="utf-8"?>
<sst xmlns="http://schemas.openxmlformats.org/spreadsheetml/2006/main" count="222" uniqueCount="105">
  <si>
    <t>Invoice Number</t>
  </si>
  <si>
    <t>Vendor Number</t>
  </si>
  <si>
    <t>Vendor Name</t>
  </si>
  <si>
    <t>Payment Status</t>
  </si>
  <si>
    <t xml:space="preserve">Contact Email </t>
  </si>
  <si>
    <t>Pending</t>
  </si>
  <si>
    <t>Done</t>
  </si>
  <si>
    <t>INV-42809</t>
  </si>
  <si>
    <t>INV-42810</t>
  </si>
  <si>
    <t>INV-42816</t>
  </si>
  <si>
    <t>INV-42820</t>
  </si>
  <si>
    <t>INV-39830</t>
  </si>
  <si>
    <t>INV-43903</t>
  </si>
  <si>
    <t>INV-41000</t>
  </si>
  <si>
    <t>INV-43900</t>
  </si>
  <si>
    <t>INV-42111</t>
  </si>
  <si>
    <t>INV-41231</t>
  </si>
  <si>
    <t>INV-44783</t>
  </si>
  <si>
    <t>INV-32909</t>
  </si>
  <si>
    <t>INV-29040</t>
  </si>
  <si>
    <t>INV-41984</t>
  </si>
  <si>
    <t>INV-41028</t>
  </si>
  <si>
    <t>INV-42493</t>
  </si>
  <si>
    <t>INV-40432</t>
  </si>
  <si>
    <t>INV-40320</t>
  </si>
  <si>
    <t>INV-41840</t>
  </si>
  <si>
    <t>INV-39034</t>
  </si>
  <si>
    <t>INV-37901</t>
  </si>
  <si>
    <t>INV-41293</t>
  </si>
  <si>
    <t>INV-38031</t>
  </si>
  <si>
    <t>INV-47293</t>
  </si>
  <si>
    <t>INV-47823</t>
  </si>
  <si>
    <t>INV-34727</t>
  </si>
  <si>
    <t>INV-42940</t>
  </si>
  <si>
    <t>INV-31890</t>
  </si>
  <si>
    <t>INV-39101</t>
  </si>
  <si>
    <t>INV-31831</t>
  </si>
  <si>
    <t>INV-38131</t>
  </si>
  <si>
    <t>INV-31908</t>
  </si>
  <si>
    <t>INV-39810</t>
  </si>
  <si>
    <t>INV-39718</t>
  </si>
  <si>
    <t>INV-31989</t>
  </si>
  <si>
    <t>INV-31893</t>
  </si>
  <si>
    <t>INV-39100</t>
  </si>
  <si>
    <t>INV-39389</t>
  </si>
  <si>
    <t>INV-42301</t>
  </si>
  <si>
    <t>INV-32180</t>
  </si>
  <si>
    <t>INV-38208</t>
  </si>
  <si>
    <t>INV-34817</t>
  </si>
  <si>
    <t>INV-48920</t>
  </si>
  <si>
    <t>INV-42020</t>
  </si>
  <si>
    <t>INV-42901</t>
  </si>
  <si>
    <t>INV-41029</t>
  </si>
  <si>
    <t xml:space="preserve">BrightBridge Solutions </t>
  </si>
  <si>
    <t>Quantum Dynamics</t>
  </si>
  <si>
    <t>NovaSphere Technologies</t>
  </si>
  <si>
    <t>EcoSynthetix Innovations</t>
  </si>
  <si>
    <t xml:space="preserve">BluePeak Analytics </t>
  </si>
  <si>
    <t xml:space="preserve">Zenith Labs </t>
  </si>
  <si>
    <t>TerraForge Enterprises</t>
  </si>
  <si>
    <t xml:space="preserve">Celestial Cybernetics </t>
  </si>
  <si>
    <t>InfiniTech Designs</t>
  </si>
  <si>
    <t>Apex Pioneers</t>
  </si>
  <si>
    <t xml:space="preserve">Nimbus Networks </t>
  </si>
  <si>
    <t>FusionFront Technologies</t>
  </si>
  <si>
    <t>GreenLeaf Energy</t>
  </si>
  <si>
    <t>MetaMorph Studios</t>
  </si>
  <si>
    <t>AeroQuest Aviation</t>
  </si>
  <si>
    <t>BioNexus Health</t>
  </si>
  <si>
    <t>Crystal Clear Communications</t>
  </si>
  <si>
    <t>SolarFlare Innovations</t>
  </si>
  <si>
    <t>Oceanic Explorations</t>
  </si>
  <si>
    <t>CyberLynk Systems</t>
  </si>
  <si>
    <t>INV-32310</t>
  </si>
  <si>
    <t>Amount in EUR</t>
  </si>
  <si>
    <t>service@aeroquestaviation.com</t>
  </si>
  <si>
    <t>contact@apexpioneers.com</t>
  </si>
  <si>
    <t>inquiries@bionexushealth.com</t>
  </si>
  <si>
    <t>service@bluepeakanalytics.com</t>
  </si>
  <si>
    <t>contact@brightbridgesolutions.com</t>
  </si>
  <si>
    <t>admin@celestialcybernetics.com</t>
  </si>
  <si>
    <t>admin@crystalclearcomms.com</t>
  </si>
  <si>
    <t>info@cyberlynksystems.com</t>
  </si>
  <si>
    <t>hello@ecosynthetixinnovations.com</t>
  </si>
  <si>
    <t>info@fusionfronttech.com</t>
  </si>
  <si>
    <t>contact@greenleafenergy.co</t>
  </si>
  <si>
    <t>design@infinitechdesigns.com</t>
  </si>
  <si>
    <t>hello@metamorphstudios.com</t>
  </si>
  <si>
    <t>support@nimbusnetworks.io</t>
  </si>
  <si>
    <t>support@novaspheretech.com</t>
  </si>
  <si>
    <t>explore@oceanicexplorations.net</t>
  </si>
  <si>
    <t>info@quantumdynamics.co</t>
  </si>
  <si>
    <t>support@solarflareinnovations.com</t>
  </si>
  <si>
    <t>sales@terraforgeenterprises.com</t>
  </si>
  <si>
    <t>inquiries@zenithlabs.net</t>
  </si>
  <si>
    <t>BrightBridge Solutions</t>
  </si>
  <si>
    <t>BluePeak Analytics</t>
  </si>
  <si>
    <t>Zenith Labs</t>
  </si>
  <si>
    <t>Nimbus Networks</t>
  </si>
  <si>
    <t>Liability in EUR</t>
  </si>
  <si>
    <t>Invoice Date</t>
  </si>
  <si>
    <t>Due Date</t>
  </si>
  <si>
    <t>Email</t>
  </si>
  <si>
    <t>First Reminder</t>
  </si>
  <si>
    <t>Second Reminder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</si>
</sst>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1" applyAlignment="1">
      <alignment horizontal="center"/>
    </xf>
    <xf numFmtId="0" fontId="0" fillId="0" borderId="1" xfId="0" applyBorder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387350</xdr:colOff>
      <xdr:row>0</xdr:row>
      <xdr:rowOff>171450</xdr:rowOff>
    </xdr:from>
    <xdr:to>
      <xdr:col>1</xdr:col>
      <xdr:colOff>863600</xdr:colOff>
      <xdr:row>2</xdr:row>
      <xdr:rowOff>152400</xdr:rowOff>
    </xdr:to>
    <xdr:sp macro="[0]!GenerateEmails" textlink="">
      <xdr:nvSpPr>
        <xdr:cNvPr id="2" name="TextBox 1">
          <a:extLst>
            <a:ext uri="{FF2B5EF4-FFF2-40B4-BE49-F238E27FC236}">
              <a16:creationId xmlns:a16="http://schemas.microsoft.com/office/drawing/2014/main" id="{C8F72A4C-C75C-7034-A7BE-A43B212C3FCD}"/>
            </a:ext>
          </a:extLst>
        </xdr:cNvPr>
        <xdr:cNvSpPr txBox="1"/>
      </xdr:nvSpPr>
      <xdr:spPr>
        <a:xfrm>
          <a:off x="387350" y="171450"/>
          <a:ext cx="1619250" cy="3492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400" b="0"/>
            <a:t>Send Email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contact@brightbridgesolutions.com" TargetMode="External"/><Relationship Id="rId18" Type="http://schemas.openxmlformats.org/officeDocument/2006/relationships/hyperlink" Target="mailto:admin@crystalclearcomms.com" TargetMode="External"/><Relationship Id="rId26" Type="http://schemas.openxmlformats.org/officeDocument/2006/relationships/hyperlink" Target="mailto:contact@greenleafenergy.co" TargetMode="External"/><Relationship Id="rId39" Type="http://schemas.openxmlformats.org/officeDocument/2006/relationships/hyperlink" Target="mailto:info@quantumdynamics.co" TargetMode="External"/><Relationship Id="rId21" Type="http://schemas.openxmlformats.org/officeDocument/2006/relationships/hyperlink" Target="mailto:info@cyberlynksystems.com" TargetMode="External"/><Relationship Id="rId34" Type="http://schemas.openxmlformats.org/officeDocument/2006/relationships/hyperlink" Target="mailto:support@novaspheretech.com" TargetMode="External"/><Relationship Id="rId42" Type="http://schemas.openxmlformats.org/officeDocument/2006/relationships/hyperlink" Target="mailto:support@solarflareinnovations.com" TargetMode="External"/><Relationship Id="rId47" Type="http://schemas.openxmlformats.org/officeDocument/2006/relationships/hyperlink" Target="mailto:inquiries@zenithlabs.net" TargetMode="External"/><Relationship Id="rId7" Type="http://schemas.openxmlformats.org/officeDocument/2006/relationships/hyperlink" Target="mailto:service@bluepeakanalytics.com" TargetMode="External"/><Relationship Id="rId2" Type="http://schemas.openxmlformats.org/officeDocument/2006/relationships/hyperlink" Target="mailto:service@aeroquestaviation.com" TargetMode="External"/><Relationship Id="rId16" Type="http://schemas.openxmlformats.org/officeDocument/2006/relationships/hyperlink" Target="mailto:admin@celestialcybernetics.com" TargetMode="External"/><Relationship Id="rId29" Type="http://schemas.openxmlformats.org/officeDocument/2006/relationships/hyperlink" Target="mailto:hello@metamorphstudios.com" TargetMode="External"/><Relationship Id="rId11" Type="http://schemas.openxmlformats.org/officeDocument/2006/relationships/hyperlink" Target="mailto:contact@brightbridgesolutions.com" TargetMode="External"/><Relationship Id="rId24" Type="http://schemas.openxmlformats.org/officeDocument/2006/relationships/hyperlink" Target="mailto:hello@ecosynthetixinnovations.com" TargetMode="External"/><Relationship Id="rId32" Type="http://schemas.openxmlformats.org/officeDocument/2006/relationships/hyperlink" Target="mailto:support@nimbusnetworks.io" TargetMode="External"/><Relationship Id="rId37" Type="http://schemas.openxmlformats.org/officeDocument/2006/relationships/hyperlink" Target="mailto:explore@oceanicexplorations.net" TargetMode="External"/><Relationship Id="rId40" Type="http://schemas.openxmlformats.org/officeDocument/2006/relationships/hyperlink" Target="mailto:info@quantumdynamics.co" TargetMode="External"/><Relationship Id="rId45" Type="http://schemas.openxmlformats.org/officeDocument/2006/relationships/hyperlink" Target="mailto:sales@terraforgeenterprises.com" TargetMode="External"/><Relationship Id="rId5" Type="http://schemas.openxmlformats.org/officeDocument/2006/relationships/hyperlink" Target="mailto:inquiries@bionexushealth.com" TargetMode="External"/><Relationship Id="rId15" Type="http://schemas.openxmlformats.org/officeDocument/2006/relationships/hyperlink" Target="mailto:admin@celestialcybernetics.com" TargetMode="External"/><Relationship Id="rId23" Type="http://schemas.openxmlformats.org/officeDocument/2006/relationships/hyperlink" Target="mailto:hello@ecosynthetixinnovations.com" TargetMode="External"/><Relationship Id="rId28" Type="http://schemas.openxmlformats.org/officeDocument/2006/relationships/hyperlink" Target="mailto:design@infinitechdesigns.com" TargetMode="External"/><Relationship Id="rId36" Type="http://schemas.openxmlformats.org/officeDocument/2006/relationships/hyperlink" Target="mailto:explore@oceanicexplorations.net" TargetMode="External"/><Relationship Id="rId49" Type="http://schemas.openxmlformats.org/officeDocument/2006/relationships/drawing" Target="../drawings/drawing1.xml"/><Relationship Id="rId10" Type="http://schemas.openxmlformats.org/officeDocument/2006/relationships/hyperlink" Target="mailto:contact@brightbridgesolutions.com" TargetMode="External"/><Relationship Id="rId19" Type="http://schemas.openxmlformats.org/officeDocument/2006/relationships/hyperlink" Target="mailto:admin@crystalclearcomms.com" TargetMode="External"/><Relationship Id="rId31" Type="http://schemas.openxmlformats.org/officeDocument/2006/relationships/hyperlink" Target="mailto:support@nimbusnetworks.io" TargetMode="External"/><Relationship Id="rId44" Type="http://schemas.openxmlformats.org/officeDocument/2006/relationships/hyperlink" Target="mailto:sales@terraforgeenterprises.com" TargetMode="External"/><Relationship Id="rId4" Type="http://schemas.openxmlformats.org/officeDocument/2006/relationships/hyperlink" Target="mailto:contact@apexpioneers.com" TargetMode="External"/><Relationship Id="rId9" Type="http://schemas.openxmlformats.org/officeDocument/2006/relationships/hyperlink" Target="mailto:contact@brightbridgesolutions.com" TargetMode="External"/><Relationship Id="rId14" Type="http://schemas.openxmlformats.org/officeDocument/2006/relationships/hyperlink" Target="mailto:contact@brightbridgesolutions.com" TargetMode="External"/><Relationship Id="rId22" Type="http://schemas.openxmlformats.org/officeDocument/2006/relationships/hyperlink" Target="mailto:info@cyberlynksystems.com" TargetMode="External"/><Relationship Id="rId27" Type="http://schemas.openxmlformats.org/officeDocument/2006/relationships/hyperlink" Target="mailto:design@infinitechdesigns.com" TargetMode="External"/><Relationship Id="rId30" Type="http://schemas.openxmlformats.org/officeDocument/2006/relationships/hyperlink" Target="mailto:hello@metamorphstudios.com" TargetMode="External"/><Relationship Id="rId35" Type="http://schemas.openxmlformats.org/officeDocument/2006/relationships/hyperlink" Target="mailto:support@novaspheretech.com" TargetMode="External"/><Relationship Id="rId43" Type="http://schemas.openxmlformats.org/officeDocument/2006/relationships/hyperlink" Target="mailto:support@solarflareinnovations.com" TargetMode="External"/><Relationship Id="rId48" Type="http://schemas.openxmlformats.org/officeDocument/2006/relationships/printerSettings" Target="../printerSettings/printerSettings1.bin"/><Relationship Id="rId8" Type="http://schemas.openxmlformats.org/officeDocument/2006/relationships/hyperlink" Target="mailto:service@bluepeakanalytics.com" TargetMode="External"/><Relationship Id="rId3" Type="http://schemas.openxmlformats.org/officeDocument/2006/relationships/hyperlink" Target="mailto:contact@apexpioneers.com" TargetMode="External"/><Relationship Id="rId12" Type="http://schemas.openxmlformats.org/officeDocument/2006/relationships/hyperlink" Target="mailto:contact@brightbridgesolutions.com" TargetMode="External"/><Relationship Id="rId17" Type="http://schemas.openxmlformats.org/officeDocument/2006/relationships/hyperlink" Target="mailto:admin@celestialcybernetics.com" TargetMode="External"/><Relationship Id="rId25" Type="http://schemas.openxmlformats.org/officeDocument/2006/relationships/hyperlink" Target="mailto:info@fusionfronttech.com" TargetMode="External"/><Relationship Id="rId33" Type="http://schemas.openxmlformats.org/officeDocument/2006/relationships/hyperlink" Target="mailto:support@novaspheretech.com" TargetMode="External"/><Relationship Id="rId38" Type="http://schemas.openxmlformats.org/officeDocument/2006/relationships/hyperlink" Target="mailto:info@quantumdynamics.co" TargetMode="External"/><Relationship Id="rId46" Type="http://schemas.openxmlformats.org/officeDocument/2006/relationships/hyperlink" Target="mailto:inquiries@zenithlabs.net" TargetMode="External"/><Relationship Id="rId20" Type="http://schemas.openxmlformats.org/officeDocument/2006/relationships/hyperlink" Target="mailto:info@cyberlynksystems.com" TargetMode="External"/><Relationship Id="rId41" Type="http://schemas.openxmlformats.org/officeDocument/2006/relationships/hyperlink" Target="mailto:info@quantumdynamics.co" TargetMode="External"/><Relationship Id="rId1" Type="http://schemas.openxmlformats.org/officeDocument/2006/relationships/hyperlink" Target="mailto:service@aeroquestaviation.com" TargetMode="External"/><Relationship Id="rId6" Type="http://schemas.openxmlformats.org/officeDocument/2006/relationships/hyperlink" Target="mailto:inquiries@bionexushealt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2"/>
  <sheetViews>
    <sheetView tabSelected="1" zoomScaleNormal="100" zoomScaleSheetLayoutView="112" workbookViewId="0">
      <selection activeCell="O22" sqref="O22"/>
    </sheetView>
  </sheetViews>
  <sheetFormatPr defaultRowHeight="14.5" x14ac:dyDescent="0.35"/>
  <cols>
    <col min="1" max="1" width="16.36328125" customWidth="1"/>
    <col min="2" max="2" width="16.90625" style="1" customWidth="1"/>
    <col min="3" max="3" width="28.81640625" style="1" customWidth="1"/>
    <col min="4" max="6" width="20.6328125" style="1" customWidth="1"/>
    <col min="7" max="7" width="17.90625" style="1" customWidth="1"/>
    <col min="8" max="8" width="31.7265625" customWidth="1"/>
    <col min="9" max="9" width="14.1796875" customWidth="1"/>
    <col min="10" max="10" width="18.26953125" customWidth="1"/>
    <col min="11" max="11" width="18.36328125" customWidth="1"/>
  </cols>
  <sheetData>
    <row r="1" spans="1:11" x14ac:dyDescent="0.35">
      <c r="A1" s="7"/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x14ac:dyDescent="0.3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</row>
    <row r="5" spans="1:11" x14ac:dyDescent="0.35">
      <c r="A5" s="2" t="s">
        <v>0</v>
      </c>
      <c r="B5" s="2" t="s">
        <v>1</v>
      </c>
      <c r="C5" s="2" t="s">
        <v>2</v>
      </c>
      <c r="D5" s="2" t="s">
        <v>74</v>
      </c>
      <c r="E5" s="2" t="s">
        <v>100</v>
      </c>
      <c r="F5" s="2" t="s">
        <v>101</v>
      </c>
      <c r="G5" s="2" t="s">
        <v>3</v>
      </c>
      <c r="H5" s="2" t="s">
        <v>4</v>
      </c>
      <c r="I5" s="2" t="s">
        <v>102</v>
      </c>
      <c r="J5" s="9" t="s">
        <v>103</v>
      </c>
      <c r="K5" s="9" t="s">
        <v>104</v>
      </c>
    </row>
    <row r="6" spans="1:11" x14ac:dyDescent="0.35">
      <c r="A6" s="1" t="s">
        <v>7</v>
      </c>
      <c r="B6" s="1">
        <v>80002587</v>
      </c>
      <c r="C6" s="1" t="s">
        <v>54</v>
      </c>
      <c r="D6" s="1">
        <v>1042.03</v>
      </c>
      <c r="E6" s="5">
        <v>45516</v>
      </c>
      <c r="F6" s="5">
        <f>E6+30</f>
        <v>45546</v>
      </c>
      <c r="G6" s="1" t="s">
        <v>5</v>
      </c>
      <c r="H6" s="3" t="s">
        <v>91</v>
      </c>
      <c r="I6" s="6"/>
      <c r="J6" s="6"/>
    </row>
    <row r="7" spans="1:11" x14ac:dyDescent="0.35">
      <c r="A7" s="1" t="s">
        <v>19</v>
      </c>
      <c r="B7" s="1">
        <v>80001911</v>
      </c>
      <c r="C7" s="1" t="s">
        <v>59</v>
      </c>
      <c r="D7" s="1">
        <v>3101.34</v>
      </c>
      <c r="E7" s="5">
        <v>45324</v>
      </c>
      <c r="F7" s="5">
        <f>E7+30</f>
        <v>45354</v>
      </c>
      <c r="G7" s="1" t="s">
        <v>5</v>
      </c>
      <c r="H7" s="3" t="s">
        <v>93</v>
      </c>
      <c r="I7" s="6"/>
    </row>
    <row r="8" spans="1:11" x14ac:dyDescent="0.35">
      <c r="A8" s="1" t="s">
        <v>11</v>
      </c>
      <c r="B8" s="1">
        <v>80002723</v>
      </c>
      <c r="C8" s="1" t="s">
        <v>63</v>
      </c>
      <c r="D8" s="1">
        <v>100.03</v>
      </c>
      <c r="E8" s="5">
        <v>45484</v>
      </c>
      <c r="F8" s="5">
        <f t="shared" ref="F8:F51" si="0">E8+30</f>
        <v>45514</v>
      </c>
      <c r="G8" s="1" t="s">
        <v>5</v>
      </c>
      <c r="H8" s="3" t="s">
        <v>88</v>
      </c>
      <c r="I8" s="6"/>
      <c r="J8" s="6"/>
      <c r="K8" s="6"/>
    </row>
    <row r="9" spans="1:11" x14ac:dyDescent="0.35">
      <c r="A9" s="1" t="s">
        <v>12</v>
      </c>
      <c r="B9" s="1">
        <v>80002587</v>
      </c>
      <c r="C9" s="1" t="s">
        <v>54</v>
      </c>
      <c r="D9" s="1">
        <v>42.32</v>
      </c>
      <c r="E9" s="5">
        <v>45532</v>
      </c>
      <c r="F9" s="5">
        <f t="shared" si="0"/>
        <v>45562</v>
      </c>
      <c r="G9" s="1" t="s">
        <v>5</v>
      </c>
      <c r="H9" s="3" t="s">
        <v>91</v>
      </c>
      <c r="I9" s="6"/>
      <c r="J9" s="6"/>
    </row>
    <row r="10" spans="1:11" x14ac:dyDescent="0.35">
      <c r="A10" s="1" t="s">
        <v>13</v>
      </c>
      <c r="B10" s="1">
        <v>80001982</v>
      </c>
      <c r="C10" s="1" t="s">
        <v>67</v>
      </c>
      <c r="D10" s="1">
        <v>423.42</v>
      </c>
      <c r="E10" s="5">
        <v>45491</v>
      </c>
      <c r="F10" s="5">
        <f t="shared" si="0"/>
        <v>45521</v>
      </c>
      <c r="G10" s="1" t="s">
        <v>5</v>
      </c>
      <c r="H10" s="3" t="s">
        <v>75</v>
      </c>
      <c r="I10" s="6"/>
    </row>
    <row r="11" spans="1:11" x14ac:dyDescent="0.35">
      <c r="A11" s="1" t="s">
        <v>14</v>
      </c>
      <c r="B11" s="1">
        <v>80001711</v>
      </c>
      <c r="C11" s="1" t="s">
        <v>53</v>
      </c>
      <c r="D11" s="1">
        <v>42.53</v>
      </c>
      <c r="E11" s="5">
        <v>45530</v>
      </c>
      <c r="F11" s="5">
        <f t="shared" si="0"/>
        <v>45560</v>
      </c>
      <c r="G11" s="1" t="s">
        <v>5</v>
      </c>
      <c r="H11" s="3" t="s">
        <v>79</v>
      </c>
      <c r="I11" s="6"/>
    </row>
    <row r="12" spans="1:11" x14ac:dyDescent="0.35">
      <c r="A12" s="1" t="s">
        <v>15</v>
      </c>
      <c r="B12" s="1">
        <v>80002190</v>
      </c>
      <c r="C12" s="1" t="s">
        <v>69</v>
      </c>
      <c r="D12" s="1">
        <v>321.43</v>
      </c>
      <c r="E12" s="5">
        <v>45511</v>
      </c>
      <c r="F12" s="5">
        <f t="shared" si="0"/>
        <v>45541</v>
      </c>
      <c r="G12" s="1" t="s">
        <v>5</v>
      </c>
      <c r="H12" s="3" t="s">
        <v>81</v>
      </c>
      <c r="I12" s="6"/>
    </row>
    <row r="13" spans="1:11" x14ac:dyDescent="0.35">
      <c r="A13" s="1" t="s">
        <v>9</v>
      </c>
      <c r="B13" s="1">
        <v>80002417</v>
      </c>
      <c r="C13" s="1" t="s">
        <v>61</v>
      </c>
      <c r="D13" s="1">
        <v>312.42</v>
      </c>
      <c r="E13" s="5">
        <v>45522</v>
      </c>
      <c r="F13" s="5">
        <f t="shared" si="0"/>
        <v>45552</v>
      </c>
      <c r="G13" s="1" t="s">
        <v>6</v>
      </c>
      <c r="H13" s="3" t="s">
        <v>86</v>
      </c>
    </row>
    <row r="14" spans="1:11" x14ac:dyDescent="0.35">
      <c r="A14" s="1" t="s">
        <v>16</v>
      </c>
      <c r="B14" s="1">
        <v>80002840</v>
      </c>
      <c r="C14" s="1" t="s">
        <v>68</v>
      </c>
      <c r="D14" s="1">
        <v>21332.2</v>
      </c>
      <c r="E14" s="5">
        <v>45498</v>
      </c>
      <c r="F14" s="5">
        <f t="shared" si="0"/>
        <v>45528</v>
      </c>
      <c r="G14" s="1" t="s">
        <v>5</v>
      </c>
      <c r="H14" s="3" t="s">
        <v>77</v>
      </c>
      <c r="I14" s="6"/>
    </row>
    <row r="15" spans="1:11" x14ac:dyDescent="0.35">
      <c r="A15" s="1" t="s">
        <v>17</v>
      </c>
      <c r="B15" s="1">
        <v>80002840</v>
      </c>
      <c r="C15" s="1" t="s">
        <v>68</v>
      </c>
      <c r="D15" s="1">
        <v>43.64</v>
      </c>
      <c r="E15" s="5">
        <v>45534</v>
      </c>
      <c r="F15" s="5">
        <f t="shared" si="0"/>
        <v>45564</v>
      </c>
      <c r="G15" s="1" t="s">
        <v>6</v>
      </c>
      <c r="H15" s="3" t="s">
        <v>77</v>
      </c>
    </row>
    <row r="16" spans="1:11" x14ac:dyDescent="0.35">
      <c r="A16" s="1" t="s">
        <v>18</v>
      </c>
      <c r="B16" s="1">
        <v>80001711</v>
      </c>
      <c r="C16" s="1" t="s">
        <v>53</v>
      </c>
      <c r="D16" s="1">
        <v>323.52999999999997</v>
      </c>
      <c r="E16" s="5">
        <v>45431</v>
      </c>
      <c r="F16" s="5">
        <f t="shared" si="0"/>
        <v>45461</v>
      </c>
      <c r="G16" s="1" t="s">
        <v>6</v>
      </c>
      <c r="H16" s="3" t="s">
        <v>79</v>
      </c>
    </row>
    <row r="17" spans="1:9" x14ac:dyDescent="0.35">
      <c r="A17" s="1" t="s">
        <v>10</v>
      </c>
      <c r="B17" s="1">
        <v>80001711</v>
      </c>
      <c r="C17" s="1" t="s">
        <v>53</v>
      </c>
      <c r="D17" s="1">
        <v>532.53</v>
      </c>
      <c r="E17" s="5">
        <v>45524</v>
      </c>
      <c r="F17" s="5">
        <f t="shared" si="0"/>
        <v>45554</v>
      </c>
      <c r="G17" s="1" t="s">
        <v>6</v>
      </c>
      <c r="H17" s="3" t="s">
        <v>79</v>
      </c>
    </row>
    <row r="18" spans="1:9" x14ac:dyDescent="0.35">
      <c r="A18" s="1" t="s">
        <v>20</v>
      </c>
      <c r="B18" s="1">
        <v>80001892</v>
      </c>
      <c r="C18" s="1" t="s">
        <v>56</v>
      </c>
      <c r="D18" s="1">
        <v>324.08999999999997</v>
      </c>
      <c r="E18" s="5">
        <v>45506</v>
      </c>
      <c r="F18" s="5">
        <f t="shared" si="0"/>
        <v>45536</v>
      </c>
      <c r="G18" s="1" t="s">
        <v>5</v>
      </c>
      <c r="H18" s="3" t="s">
        <v>83</v>
      </c>
      <c r="I18" s="6"/>
    </row>
    <row r="19" spans="1:9" x14ac:dyDescent="0.35">
      <c r="A19" s="1" t="s">
        <v>21</v>
      </c>
      <c r="B19" s="1">
        <v>80001892</v>
      </c>
      <c r="C19" s="1" t="s">
        <v>56</v>
      </c>
      <c r="D19" s="1">
        <v>425.78</v>
      </c>
      <c r="E19" s="5">
        <v>45493</v>
      </c>
      <c r="F19" s="5">
        <f t="shared" si="0"/>
        <v>45523</v>
      </c>
      <c r="G19" s="1" t="s">
        <v>6</v>
      </c>
      <c r="H19" s="3" t="s">
        <v>83</v>
      </c>
    </row>
    <row r="20" spans="1:9" x14ac:dyDescent="0.35">
      <c r="A20" s="1" t="s">
        <v>22</v>
      </c>
      <c r="B20" s="1">
        <v>80002043</v>
      </c>
      <c r="C20" s="1" t="s">
        <v>62</v>
      </c>
      <c r="D20" s="1">
        <v>5325.43</v>
      </c>
      <c r="E20" s="5">
        <v>45515</v>
      </c>
      <c r="F20" s="5">
        <f t="shared" si="0"/>
        <v>45545</v>
      </c>
      <c r="G20" s="1" t="s">
        <v>6</v>
      </c>
      <c r="H20" s="3" t="s">
        <v>76</v>
      </c>
    </row>
    <row r="21" spans="1:9" x14ac:dyDescent="0.35">
      <c r="A21" s="1" t="s">
        <v>23</v>
      </c>
      <c r="B21" s="1">
        <v>80002043</v>
      </c>
      <c r="C21" s="1" t="s">
        <v>62</v>
      </c>
      <c r="D21" s="1">
        <v>482.75</v>
      </c>
      <c r="E21" s="5">
        <v>45489</v>
      </c>
      <c r="F21" s="5">
        <f t="shared" si="0"/>
        <v>45519</v>
      </c>
      <c r="G21" s="1" t="s">
        <v>5</v>
      </c>
      <c r="H21" s="3" t="s">
        <v>76</v>
      </c>
      <c r="I21" s="6"/>
    </row>
    <row r="22" spans="1:9" x14ac:dyDescent="0.35">
      <c r="A22" s="1" t="s">
        <v>24</v>
      </c>
      <c r="B22" s="1">
        <v>80001911</v>
      </c>
      <c r="C22" s="1" t="s">
        <v>59</v>
      </c>
      <c r="D22" s="1">
        <v>657.16</v>
      </c>
      <c r="E22" s="5">
        <v>45487</v>
      </c>
      <c r="F22" s="5">
        <f t="shared" si="0"/>
        <v>45517</v>
      </c>
      <c r="G22" s="1" t="s">
        <v>5</v>
      </c>
      <c r="H22" s="3" t="s">
        <v>93</v>
      </c>
      <c r="I22" s="6"/>
    </row>
    <row r="23" spans="1:9" x14ac:dyDescent="0.35">
      <c r="A23" s="1" t="s">
        <v>25</v>
      </c>
      <c r="B23" s="1">
        <v>80002817</v>
      </c>
      <c r="C23" s="1" t="s">
        <v>71</v>
      </c>
      <c r="D23" s="1">
        <v>7876</v>
      </c>
      <c r="E23" s="5">
        <v>45502</v>
      </c>
      <c r="F23" s="5">
        <f t="shared" si="0"/>
        <v>45532</v>
      </c>
      <c r="G23" s="1" t="s">
        <v>5</v>
      </c>
      <c r="H23" s="3" t="s">
        <v>90</v>
      </c>
      <c r="I23" s="6"/>
    </row>
    <row r="24" spans="1:9" x14ac:dyDescent="0.35">
      <c r="A24" s="1" t="s">
        <v>26</v>
      </c>
      <c r="B24" s="1">
        <v>80001711</v>
      </c>
      <c r="C24" s="1" t="s">
        <v>53</v>
      </c>
      <c r="D24" s="1">
        <v>4242.88</v>
      </c>
      <c r="E24" s="5">
        <v>45466</v>
      </c>
      <c r="F24" s="5">
        <f t="shared" si="0"/>
        <v>45496</v>
      </c>
      <c r="G24" s="1" t="s">
        <v>5</v>
      </c>
      <c r="H24" s="3" t="s">
        <v>79</v>
      </c>
      <c r="I24" s="6"/>
    </row>
    <row r="25" spans="1:9" x14ac:dyDescent="0.35">
      <c r="A25" s="1" t="s">
        <v>27</v>
      </c>
      <c r="B25" s="1">
        <v>80001711</v>
      </c>
      <c r="C25" s="1" t="s">
        <v>53</v>
      </c>
      <c r="D25" s="1">
        <v>535.76</v>
      </c>
      <c r="E25" s="5">
        <v>45441</v>
      </c>
      <c r="F25" s="5">
        <f t="shared" si="0"/>
        <v>45471</v>
      </c>
      <c r="G25" s="1" t="s">
        <v>5</v>
      </c>
      <c r="H25" s="3" t="s">
        <v>79</v>
      </c>
      <c r="I25" s="6"/>
    </row>
    <row r="26" spans="1:9" x14ac:dyDescent="0.35">
      <c r="A26" s="1" t="s">
        <v>28</v>
      </c>
      <c r="B26" s="1">
        <v>80001711</v>
      </c>
      <c r="C26" s="1" t="s">
        <v>53</v>
      </c>
      <c r="D26" s="1">
        <v>897.11</v>
      </c>
      <c r="E26" s="5">
        <v>45500</v>
      </c>
      <c r="F26" s="5">
        <f t="shared" si="0"/>
        <v>45530</v>
      </c>
      <c r="G26" s="1" t="s">
        <v>5</v>
      </c>
      <c r="H26" s="3" t="s">
        <v>79</v>
      </c>
      <c r="I26" s="6"/>
    </row>
    <row r="27" spans="1:9" x14ac:dyDescent="0.35">
      <c r="A27" s="1" t="s">
        <v>29</v>
      </c>
      <c r="B27" s="1">
        <v>80002801</v>
      </c>
      <c r="C27" s="1" t="s">
        <v>72</v>
      </c>
      <c r="D27" s="1">
        <v>9013.42</v>
      </c>
      <c r="E27" s="5">
        <v>45445</v>
      </c>
      <c r="F27" s="5">
        <f t="shared" si="0"/>
        <v>45475</v>
      </c>
      <c r="G27" s="1" t="s">
        <v>5</v>
      </c>
      <c r="H27" s="3" t="s">
        <v>82</v>
      </c>
      <c r="I27" s="6"/>
    </row>
    <row r="28" spans="1:9" x14ac:dyDescent="0.35">
      <c r="A28" s="1" t="s">
        <v>48</v>
      </c>
      <c r="B28" s="1">
        <v>80002003</v>
      </c>
      <c r="C28" s="1" t="s">
        <v>60</v>
      </c>
      <c r="D28" s="1">
        <v>99.99</v>
      </c>
      <c r="E28" s="5">
        <v>45439</v>
      </c>
      <c r="F28" s="5">
        <f t="shared" si="0"/>
        <v>45469</v>
      </c>
      <c r="G28" s="1" t="s">
        <v>6</v>
      </c>
      <c r="H28" s="3" t="s">
        <v>80</v>
      </c>
    </row>
    <row r="29" spans="1:9" x14ac:dyDescent="0.35">
      <c r="A29" s="1" t="s">
        <v>30</v>
      </c>
      <c r="B29" s="1">
        <v>80002190</v>
      </c>
      <c r="C29" s="1" t="s">
        <v>69</v>
      </c>
      <c r="D29" s="1">
        <v>100.8</v>
      </c>
      <c r="E29" s="5">
        <v>45539</v>
      </c>
      <c r="F29" s="5">
        <f t="shared" si="0"/>
        <v>45569</v>
      </c>
      <c r="G29" s="1" t="s">
        <v>6</v>
      </c>
      <c r="H29" s="3" t="s">
        <v>81</v>
      </c>
    </row>
    <row r="30" spans="1:9" x14ac:dyDescent="0.35">
      <c r="A30" s="1" t="s">
        <v>31</v>
      </c>
      <c r="B30" s="1">
        <v>80002817</v>
      </c>
      <c r="C30" s="1" t="s">
        <v>71</v>
      </c>
      <c r="D30" s="1">
        <v>10500</v>
      </c>
      <c r="E30" s="5">
        <v>45540</v>
      </c>
      <c r="F30" s="5">
        <f t="shared" si="0"/>
        <v>45570</v>
      </c>
      <c r="G30" s="1" t="s">
        <v>6</v>
      </c>
      <c r="H30" s="3" t="s">
        <v>90</v>
      </c>
    </row>
    <row r="31" spans="1:9" x14ac:dyDescent="0.35">
      <c r="A31" s="1" t="s">
        <v>32</v>
      </c>
      <c r="B31" s="1">
        <v>80002038</v>
      </c>
      <c r="C31" s="1" t="s">
        <v>57</v>
      </c>
      <c r="D31" s="1">
        <v>854.65</v>
      </c>
      <c r="E31" s="5">
        <v>45438</v>
      </c>
      <c r="F31" s="5">
        <f t="shared" si="0"/>
        <v>45468</v>
      </c>
      <c r="G31" s="1" t="s">
        <v>6</v>
      </c>
      <c r="H31" s="3" t="s">
        <v>78</v>
      </c>
    </row>
    <row r="32" spans="1:9" x14ac:dyDescent="0.35">
      <c r="A32" s="1" t="s">
        <v>33</v>
      </c>
      <c r="B32" s="1">
        <v>80002038</v>
      </c>
      <c r="C32" s="1" t="s">
        <v>57</v>
      </c>
      <c r="D32" s="1">
        <v>35.950000000000003</v>
      </c>
      <c r="E32" s="5">
        <v>45527</v>
      </c>
      <c r="F32" s="5">
        <f t="shared" si="0"/>
        <v>45557</v>
      </c>
      <c r="G32" s="1" t="s">
        <v>5</v>
      </c>
      <c r="H32" s="3" t="s">
        <v>78</v>
      </c>
      <c r="I32" s="6"/>
    </row>
    <row r="33" spans="1:9" x14ac:dyDescent="0.35">
      <c r="A33" s="1" t="s">
        <v>34</v>
      </c>
      <c r="B33" s="1">
        <v>80002801</v>
      </c>
      <c r="C33" s="1" t="s">
        <v>72</v>
      </c>
      <c r="D33" s="1">
        <v>543.41999999999996</v>
      </c>
      <c r="E33" s="5">
        <v>45402</v>
      </c>
      <c r="F33" s="5">
        <f t="shared" si="0"/>
        <v>45432</v>
      </c>
      <c r="G33" s="1" t="s">
        <v>5</v>
      </c>
      <c r="H33" s="3" t="s">
        <v>82</v>
      </c>
      <c r="I33" s="6"/>
    </row>
    <row r="34" spans="1:9" x14ac:dyDescent="0.35">
      <c r="A34" s="1" t="s">
        <v>35</v>
      </c>
      <c r="B34" s="1">
        <v>80002723</v>
      </c>
      <c r="C34" s="1" t="s">
        <v>63</v>
      </c>
      <c r="D34" s="1">
        <v>6343.89</v>
      </c>
      <c r="E34" s="5">
        <v>45472</v>
      </c>
      <c r="F34" s="5">
        <f t="shared" si="0"/>
        <v>45502</v>
      </c>
      <c r="G34" s="1" t="s">
        <v>5</v>
      </c>
      <c r="H34" s="3" t="s">
        <v>88</v>
      </c>
      <c r="I34" s="6"/>
    </row>
    <row r="35" spans="1:9" x14ac:dyDescent="0.35">
      <c r="A35" s="1" t="s">
        <v>36</v>
      </c>
      <c r="B35" s="1">
        <v>80002801</v>
      </c>
      <c r="C35" s="1" t="s">
        <v>72</v>
      </c>
      <c r="D35" s="1">
        <v>341.33</v>
      </c>
      <c r="E35" s="5">
        <v>45398</v>
      </c>
      <c r="F35" s="5">
        <f t="shared" si="0"/>
        <v>45428</v>
      </c>
      <c r="G35" s="1" t="s">
        <v>5</v>
      </c>
      <c r="H35" s="3" t="s">
        <v>82</v>
      </c>
      <c r="I35" s="6"/>
    </row>
    <row r="36" spans="1:9" x14ac:dyDescent="0.35">
      <c r="A36" s="1" t="s">
        <v>73</v>
      </c>
      <c r="B36" s="1">
        <v>80002587</v>
      </c>
      <c r="C36" s="1" t="s">
        <v>54</v>
      </c>
      <c r="D36" s="1">
        <v>901.08</v>
      </c>
      <c r="E36" s="5">
        <v>45427</v>
      </c>
      <c r="F36" s="5">
        <f t="shared" si="0"/>
        <v>45457</v>
      </c>
      <c r="G36" s="1" t="s">
        <v>5</v>
      </c>
      <c r="H36" s="3" t="s">
        <v>91</v>
      </c>
      <c r="I36" s="6"/>
    </row>
    <row r="37" spans="1:9" x14ac:dyDescent="0.35">
      <c r="A37" s="1" t="s">
        <v>37</v>
      </c>
      <c r="B37" s="1">
        <v>80002587</v>
      </c>
      <c r="C37" s="1" t="s">
        <v>54</v>
      </c>
      <c r="D37" s="1">
        <v>990.89</v>
      </c>
      <c r="E37" s="5">
        <v>45454</v>
      </c>
      <c r="F37" s="5">
        <f t="shared" si="0"/>
        <v>45484</v>
      </c>
      <c r="G37" s="1" t="s">
        <v>5</v>
      </c>
      <c r="H37" s="3" t="s">
        <v>91</v>
      </c>
      <c r="I37" s="6"/>
    </row>
    <row r="38" spans="1:9" x14ac:dyDescent="0.35">
      <c r="A38" s="1" t="s">
        <v>38</v>
      </c>
      <c r="B38" s="1">
        <v>80002499</v>
      </c>
      <c r="C38" s="1" t="s">
        <v>70</v>
      </c>
      <c r="D38" s="1">
        <v>76.03</v>
      </c>
      <c r="E38" s="5">
        <v>45415</v>
      </c>
      <c r="F38" s="5">
        <f t="shared" si="0"/>
        <v>45445</v>
      </c>
      <c r="G38" s="1" t="s">
        <v>5</v>
      </c>
      <c r="H38" s="3" t="s">
        <v>92</v>
      </c>
      <c r="I38" s="6"/>
    </row>
    <row r="39" spans="1:9" x14ac:dyDescent="0.35">
      <c r="A39" s="1" t="s">
        <v>39</v>
      </c>
      <c r="B39" s="1">
        <v>80002003</v>
      </c>
      <c r="C39" s="1" t="s">
        <v>60</v>
      </c>
      <c r="D39" s="1">
        <v>11.39</v>
      </c>
      <c r="E39" s="5">
        <v>45481</v>
      </c>
      <c r="F39" s="5">
        <f t="shared" si="0"/>
        <v>45511</v>
      </c>
      <c r="G39" s="1" t="s">
        <v>5</v>
      </c>
      <c r="H39" s="3" t="s">
        <v>80</v>
      </c>
      <c r="I39" s="6"/>
    </row>
    <row r="40" spans="1:9" x14ac:dyDescent="0.35">
      <c r="A40" s="1" t="s">
        <v>40</v>
      </c>
      <c r="B40" s="1">
        <v>80002003</v>
      </c>
      <c r="C40" s="1" t="s">
        <v>60</v>
      </c>
      <c r="D40" s="1">
        <v>4568.04</v>
      </c>
      <c r="E40" s="5">
        <v>45478</v>
      </c>
      <c r="F40" s="5">
        <f t="shared" si="0"/>
        <v>45508</v>
      </c>
      <c r="G40" s="1" t="s">
        <v>5</v>
      </c>
      <c r="H40" s="3" t="s">
        <v>80</v>
      </c>
      <c r="I40" s="6"/>
    </row>
    <row r="41" spans="1:9" x14ac:dyDescent="0.35">
      <c r="A41" s="1" t="s">
        <v>41</v>
      </c>
      <c r="B41" s="1">
        <v>80002499</v>
      </c>
      <c r="C41" s="1" t="s">
        <v>70</v>
      </c>
      <c r="D41" s="1">
        <v>843.2</v>
      </c>
      <c r="E41" s="5">
        <v>45418</v>
      </c>
      <c r="F41" s="5">
        <f t="shared" si="0"/>
        <v>45448</v>
      </c>
      <c r="G41" s="1" t="s">
        <v>5</v>
      </c>
      <c r="H41" s="3" t="s">
        <v>92</v>
      </c>
      <c r="I41" s="6"/>
    </row>
    <row r="42" spans="1:9" x14ac:dyDescent="0.35">
      <c r="A42" s="1" t="s">
        <v>42</v>
      </c>
      <c r="B42" s="1">
        <v>80002209</v>
      </c>
      <c r="C42" s="1" t="s">
        <v>64</v>
      </c>
      <c r="D42" s="1">
        <v>429.44</v>
      </c>
      <c r="E42" s="5">
        <v>45409</v>
      </c>
      <c r="F42" s="5">
        <f t="shared" si="0"/>
        <v>45439</v>
      </c>
      <c r="G42" s="1" t="s">
        <v>5</v>
      </c>
      <c r="H42" s="3" t="s">
        <v>84</v>
      </c>
      <c r="I42" s="6"/>
    </row>
    <row r="43" spans="1:9" x14ac:dyDescent="0.35">
      <c r="A43" s="1" t="s">
        <v>43</v>
      </c>
      <c r="B43" s="1">
        <v>80002616</v>
      </c>
      <c r="C43" s="1" t="s">
        <v>55</v>
      </c>
      <c r="D43" s="1">
        <v>889.22</v>
      </c>
      <c r="E43" s="5">
        <v>45468</v>
      </c>
      <c r="F43" s="5">
        <f t="shared" si="0"/>
        <v>45498</v>
      </c>
      <c r="G43" s="1" t="s">
        <v>5</v>
      </c>
      <c r="H43" s="3" t="s">
        <v>89</v>
      </c>
      <c r="I43" s="6"/>
    </row>
    <row r="44" spans="1:9" x14ac:dyDescent="0.35">
      <c r="A44" s="1" t="s">
        <v>44</v>
      </c>
      <c r="B44" s="1">
        <v>80002616</v>
      </c>
      <c r="C44" s="1" t="s">
        <v>55</v>
      </c>
      <c r="D44" s="1">
        <v>2093.04</v>
      </c>
      <c r="E44" s="5">
        <v>45474</v>
      </c>
      <c r="F44" s="5">
        <f t="shared" si="0"/>
        <v>45504</v>
      </c>
      <c r="G44" s="1" t="s">
        <v>5</v>
      </c>
      <c r="H44" s="3" t="s">
        <v>89</v>
      </c>
      <c r="I44" s="6"/>
    </row>
    <row r="45" spans="1:9" x14ac:dyDescent="0.35">
      <c r="A45" s="1" t="s">
        <v>45</v>
      </c>
      <c r="B45" s="1">
        <v>80002616</v>
      </c>
      <c r="C45" s="1" t="s">
        <v>55</v>
      </c>
      <c r="D45" s="1">
        <v>6029.03</v>
      </c>
      <c r="E45" s="5">
        <v>45514</v>
      </c>
      <c r="F45" s="5">
        <f t="shared" si="0"/>
        <v>45544</v>
      </c>
      <c r="G45" s="1" t="s">
        <v>5</v>
      </c>
      <c r="H45" s="3" t="s">
        <v>89</v>
      </c>
      <c r="I45" s="6"/>
    </row>
    <row r="46" spans="1:9" x14ac:dyDescent="0.35">
      <c r="A46" s="1" t="s">
        <v>46</v>
      </c>
      <c r="B46" s="1">
        <v>80001802</v>
      </c>
      <c r="C46" s="1" t="s">
        <v>65</v>
      </c>
      <c r="D46" s="1">
        <v>754.09</v>
      </c>
      <c r="E46" s="5">
        <v>45423</v>
      </c>
      <c r="F46" s="5">
        <f t="shared" si="0"/>
        <v>45453</v>
      </c>
      <c r="G46" s="1" t="s">
        <v>5</v>
      </c>
      <c r="H46" s="3" t="s">
        <v>85</v>
      </c>
      <c r="I46" s="6"/>
    </row>
    <row r="47" spans="1:9" x14ac:dyDescent="0.35">
      <c r="A47" s="1" t="s">
        <v>47</v>
      </c>
      <c r="B47" s="1">
        <v>80002091</v>
      </c>
      <c r="C47" s="1" t="s">
        <v>66</v>
      </c>
      <c r="D47" s="1">
        <v>629.47</v>
      </c>
      <c r="E47" s="5">
        <v>45460</v>
      </c>
      <c r="F47" s="5">
        <f t="shared" si="0"/>
        <v>45490</v>
      </c>
      <c r="G47" s="1" t="s">
        <v>6</v>
      </c>
      <c r="H47" s="3" t="s">
        <v>87</v>
      </c>
    </row>
    <row r="48" spans="1:9" x14ac:dyDescent="0.35">
      <c r="A48" s="1" t="s">
        <v>52</v>
      </c>
      <c r="B48" s="1">
        <v>80001900</v>
      </c>
      <c r="C48" s="1" t="s">
        <v>58</v>
      </c>
      <c r="D48" s="1">
        <v>8204.0300000000007</v>
      </c>
      <c r="E48" s="5">
        <v>45496</v>
      </c>
      <c r="F48" s="5">
        <f t="shared" si="0"/>
        <v>45526</v>
      </c>
      <c r="G48" s="1" t="s">
        <v>5</v>
      </c>
      <c r="H48" s="3" t="s">
        <v>94</v>
      </c>
      <c r="I48" s="6"/>
    </row>
    <row r="49" spans="1:9" x14ac:dyDescent="0.35">
      <c r="A49" s="1" t="s">
        <v>51</v>
      </c>
      <c r="B49" s="1">
        <v>80002091</v>
      </c>
      <c r="C49" s="1" t="s">
        <v>66</v>
      </c>
      <c r="D49" s="1">
        <v>275.67</v>
      </c>
      <c r="E49" s="5">
        <v>45526</v>
      </c>
      <c r="F49" s="5">
        <f t="shared" si="0"/>
        <v>45556</v>
      </c>
      <c r="G49" s="1" t="s">
        <v>5</v>
      </c>
      <c r="H49" s="3" t="s">
        <v>87</v>
      </c>
      <c r="I49" s="6"/>
    </row>
    <row r="50" spans="1:9" x14ac:dyDescent="0.35">
      <c r="A50" s="1" t="s">
        <v>50</v>
      </c>
      <c r="B50" s="1">
        <v>80002417</v>
      </c>
      <c r="C50" s="1" t="s">
        <v>61</v>
      </c>
      <c r="D50" s="1">
        <v>4720.5200000000004</v>
      </c>
      <c r="E50" s="5">
        <v>45509</v>
      </c>
      <c r="F50" s="5">
        <f t="shared" si="0"/>
        <v>45539</v>
      </c>
      <c r="G50" s="1" t="s">
        <v>5</v>
      </c>
      <c r="H50" s="3" t="s">
        <v>86</v>
      </c>
      <c r="I50" s="6"/>
    </row>
    <row r="51" spans="1:9" x14ac:dyDescent="0.35">
      <c r="A51" s="1" t="s">
        <v>8</v>
      </c>
      <c r="B51" s="1">
        <v>80001982</v>
      </c>
      <c r="C51" s="1" t="s">
        <v>67</v>
      </c>
      <c r="D51" s="1">
        <v>7420.9</v>
      </c>
      <c r="E51" s="5">
        <v>45518</v>
      </c>
      <c r="F51" s="5">
        <f t="shared" si="0"/>
        <v>45548</v>
      </c>
      <c r="G51" s="1" t="s">
        <v>5</v>
      </c>
      <c r="H51" s="3" t="s">
        <v>75</v>
      </c>
      <c r="I51" s="6"/>
    </row>
    <row r="52" spans="1:9" x14ac:dyDescent="0.35">
      <c r="A52" s="1" t="s">
        <v>49</v>
      </c>
      <c r="B52" s="1">
        <v>80001900</v>
      </c>
      <c r="C52" s="1" t="s">
        <v>58</v>
      </c>
      <c r="D52" s="1">
        <v>2384.02</v>
      </c>
      <c r="E52" s="5">
        <v>45542</v>
      </c>
      <c r="F52" s="5">
        <f>E52+30</f>
        <v>45572</v>
      </c>
      <c r="G52" s="1" t="s">
        <v>5</v>
      </c>
      <c r="H52" s="3" t="s">
        <v>94</v>
      </c>
      <c r="I52" s="6"/>
    </row>
  </sheetData>
  <autoFilter ref="A5:K5" xr:uid="{00000000-0001-0000-0000-000000000000}"/>
  <mergeCells count="1">
    <mergeCell ref="A1:K4"/>
  </mergeCells>
  <phoneticPr fontId="1" type="noConversion"/>
  <conditionalFormatting sqref="A6:A52">
    <cfRule type="duplicateValues" dxfId="0" priority="1"/>
  </conditionalFormatting>
  <hyperlinks>
    <hyperlink ref="H10" r:id="rId1" xr:uid="{15569203-1758-4E57-9B8B-F409198216E9}"/>
    <hyperlink ref="H51" r:id="rId2" xr:uid="{5B235D54-6CFA-4579-83C2-E57E3A3DEBD1}"/>
    <hyperlink ref="H20" r:id="rId3" xr:uid="{45762360-8EAD-4C5E-A5D3-2900F6C0153D}"/>
    <hyperlink ref="H21" r:id="rId4" xr:uid="{4A5D3C56-2DAC-431D-935F-993C3BEFBBDB}"/>
    <hyperlink ref="H14" r:id="rId5" xr:uid="{DC6EA830-B810-48F0-9E41-B8905C3655C5}"/>
    <hyperlink ref="H15" r:id="rId6" xr:uid="{027A3B0A-56C0-459A-B6CF-B0E31A44B33E}"/>
    <hyperlink ref="H31" r:id="rId7" xr:uid="{C721C37C-F945-4575-AA1C-8EDE51945EBA}"/>
    <hyperlink ref="H32" r:id="rId8" xr:uid="{AC025DA3-4225-4B75-A80F-D5D13F5537FC}"/>
    <hyperlink ref="H11" r:id="rId9" xr:uid="{6D6E6675-A938-4AEE-A1C2-9EC50D521AB3}"/>
    <hyperlink ref="H16" r:id="rId10" xr:uid="{BB4EBDDB-4081-4B22-9178-5A8387AB7388}"/>
    <hyperlink ref="H17" r:id="rId11" xr:uid="{28137A56-26E7-4B2D-B62F-27DD2CCCA3ED}"/>
    <hyperlink ref="H24" r:id="rId12" xr:uid="{13D6A705-F55B-40C9-8B38-4049BA5D9CD1}"/>
    <hyperlink ref="H25" r:id="rId13" xr:uid="{A58EC08D-FF0C-485B-865D-A8BCD58B6A18}"/>
    <hyperlink ref="H26" r:id="rId14" xr:uid="{A55F40C8-A698-4A9E-AE7C-E59ED5D1FA18}"/>
    <hyperlink ref="H28" r:id="rId15" xr:uid="{0D479E3B-4E12-4EC9-A367-4AE9D73EB01A}"/>
    <hyperlink ref="H39" r:id="rId16" xr:uid="{3DEE9100-C96E-4FCF-B856-E47EDE8857B3}"/>
    <hyperlink ref="H40" r:id="rId17" xr:uid="{64A86D63-7885-4892-974D-74ECC53B2C5D}"/>
    <hyperlink ref="H29" r:id="rId18" xr:uid="{64BCC83C-16F1-4E4A-B6D3-9C817A401667}"/>
    <hyperlink ref="H12" r:id="rId19" xr:uid="{246DABB8-1317-4559-A325-4CAFEFC50953}"/>
    <hyperlink ref="H27" r:id="rId20" xr:uid="{55916CDC-1C66-4416-B1FB-4F0623E8A84D}"/>
    <hyperlink ref="H33" r:id="rId21" xr:uid="{13EC7A7D-4F3A-434F-BB55-4E5A2C57FEC3}"/>
    <hyperlink ref="H35" r:id="rId22" xr:uid="{4C2D052A-B29E-4572-92B7-F3076A26285B}"/>
    <hyperlink ref="H18" r:id="rId23" xr:uid="{C4ECE2E2-2F6C-4B64-8DAB-DABC536084A4}"/>
    <hyperlink ref="H19" r:id="rId24" xr:uid="{98C53CA2-B898-4568-A25D-8096930EFF87}"/>
    <hyperlink ref="H42" r:id="rId25" xr:uid="{7B229614-76AB-45A7-B7E6-B504A2E9FF89}"/>
    <hyperlink ref="H46" r:id="rId26" xr:uid="{99885CE2-7C53-4B3F-A35D-E56F9C43C454}"/>
    <hyperlink ref="H13" r:id="rId27" xr:uid="{21776951-3D30-44A8-8E00-4D50C1CA4FA1}"/>
    <hyperlink ref="H50" r:id="rId28" xr:uid="{11FD7404-DC8B-46ED-A90A-8C74351582FF}"/>
    <hyperlink ref="H47" r:id="rId29" xr:uid="{AB535D64-FB44-4C45-A8BD-CD48DB071AC0}"/>
    <hyperlink ref="H49" r:id="rId30" xr:uid="{64DE0608-6A6B-47C7-AF89-A5A25038842B}"/>
    <hyperlink ref="H8" r:id="rId31" xr:uid="{67A6DC91-90EE-48E9-83AB-023C693CB61F}"/>
    <hyperlink ref="H34" r:id="rId32" xr:uid="{FBA745D4-7271-4648-96F1-219CCA365597}"/>
    <hyperlink ref="H43" r:id="rId33" xr:uid="{5694611A-63DF-4E31-B6D0-187BCE32D1DA}"/>
    <hyperlink ref="H44" r:id="rId34" xr:uid="{56437AB8-A7A1-41C5-ADE8-F757D8DB569C}"/>
    <hyperlink ref="H45" r:id="rId35" xr:uid="{259AED80-0285-4DC3-A639-6609B4E8DB40}"/>
    <hyperlink ref="H23" r:id="rId36" xr:uid="{D3D83949-A9E8-4562-92DA-752D9730C12B}"/>
    <hyperlink ref="H30" r:id="rId37" xr:uid="{2601906B-EC33-4210-9BE6-853ABC717406}"/>
    <hyperlink ref="H6" r:id="rId38" xr:uid="{06620907-D2F7-45F9-A890-7531DBCA5148}"/>
    <hyperlink ref="H9" r:id="rId39" xr:uid="{57F37138-1C1E-41D2-A474-88141A5DBD8B}"/>
    <hyperlink ref="H36" r:id="rId40" xr:uid="{92EAB067-F584-409A-84D2-BBC9FE6D151F}"/>
    <hyperlink ref="H37" r:id="rId41" xr:uid="{B74A2B17-2415-45D9-B4AD-6DF4ADF2C8BA}"/>
    <hyperlink ref="H38" r:id="rId42" xr:uid="{4BCBD50F-F2CF-49FD-8E8A-E409FF31BB66}"/>
    <hyperlink ref="H41" r:id="rId43" xr:uid="{98749257-036D-4363-8095-11CCF50F6323}"/>
    <hyperlink ref="H7" r:id="rId44" xr:uid="{EE0F9D25-0F9B-488A-AFC0-64952CFBDEC6}"/>
    <hyperlink ref="H22" r:id="rId45" xr:uid="{30763108-4B44-48BF-8389-D07AEF250EAB}"/>
    <hyperlink ref="H48" r:id="rId46" xr:uid="{29B97BBF-BACE-4971-B912-AEA7DC6DC797}"/>
    <hyperlink ref="H52" r:id="rId47" xr:uid="{C2E7BC90-0CD3-4EEE-9F5E-9D9AB59BF409}"/>
  </hyperlinks>
  <pageMargins left="0.7" right="0.7" top="0.75" bottom="0.75" header="0.3" footer="0.3"/>
  <pageSetup orientation="portrait" r:id="rId48"/>
  <drawing r:id="rId4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3A0BC-D2C8-40C9-95CB-C817755FF7A4}">
  <sheetPr codeName="Sheet2"/>
  <dimension ref="A1:C25"/>
  <sheetViews>
    <sheetView workbookViewId="0">
      <selection activeCell="G18" sqref="G18"/>
    </sheetView>
  </sheetViews>
  <sheetFormatPr defaultRowHeight="14.5" x14ac:dyDescent="0.35"/>
  <cols>
    <col min="1" max="1" width="20.26953125" style="1" customWidth="1"/>
    <col min="2" max="2" width="34.08984375" customWidth="1"/>
    <col min="3" max="3" width="32" customWidth="1"/>
  </cols>
  <sheetData>
    <row r="1" spans="1:3" x14ac:dyDescent="0.35">
      <c r="A1" s="7"/>
      <c r="B1" s="7"/>
      <c r="C1" s="7"/>
    </row>
    <row r="2" spans="1:3" x14ac:dyDescent="0.35">
      <c r="A2" s="7"/>
      <c r="B2" s="7"/>
      <c r="C2" s="7"/>
    </row>
    <row r="3" spans="1:3" x14ac:dyDescent="0.35">
      <c r="A3" s="7"/>
      <c r="B3" s="7"/>
      <c r="C3" s="7"/>
    </row>
    <row r="4" spans="1:3" x14ac:dyDescent="0.35">
      <c r="A4" s="8"/>
      <c r="B4" s="8"/>
      <c r="C4" s="8"/>
    </row>
    <row r="5" spans="1:3" x14ac:dyDescent="0.35">
      <c r="A5" s="2" t="s">
        <v>1</v>
      </c>
      <c r="B5" s="4" t="s">
        <v>2</v>
      </c>
      <c r="C5" s="4" t="s">
        <v>99</v>
      </c>
    </row>
    <row r="6" spans="1:3" x14ac:dyDescent="0.35">
      <c r="A6" s="1">
        <v>80001711</v>
      </c>
      <c r="B6" t="s">
        <v>95</v>
      </c>
      <c r="C6">
        <f>SUMIFS('Payment status'!D:D, 'Payment status'!B:B, A6, 'Payment status'!G:G, "Pending")</f>
        <v>5718.28</v>
      </c>
    </row>
    <row r="7" spans="1:3" x14ac:dyDescent="0.35">
      <c r="A7" s="1">
        <v>80002587</v>
      </c>
      <c r="B7" t="s">
        <v>54</v>
      </c>
      <c r="C7">
        <f>SUMIFS('Payment status'!D:D, 'Payment status'!B:B, A7, 'Payment status'!G:G, "Pending")</f>
        <v>2976.3199999999997</v>
      </c>
    </row>
    <row r="8" spans="1:3" x14ac:dyDescent="0.35">
      <c r="A8" s="1">
        <v>80002616</v>
      </c>
      <c r="B8" t="s">
        <v>55</v>
      </c>
      <c r="C8">
        <f>SUMIFS('Payment status'!D:D, 'Payment status'!B:B, A8, 'Payment status'!G:G, "Pending")</f>
        <v>9011.2900000000009</v>
      </c>
    </row>
    <row r="9" spans="1:3" x14ac:dyDescent="0.35">
      <c r="A9" s="1">
        <v>80001892</v>
      </c>
      <c r="B9" t="s">
        <v>56</v>
      </c>
      <c r="C9">
        <f>SUMIFS('Payment status'!D:D, 'Payment status'!B:B, A9, 'Payment status'!G:G, "Pending")</f>
        <v>324.08999999999997</v>
      </c>
    </row>
    <row r="10" spans="1:3" x14ac:dyDescent="0.35">
      <c r="A10" s="1">
        <v>80002038</v>
      </c>
      <c r="B10" t="s">
        <v>96</v>
      </c>
      <c r="C10">
        <f>SUMIFS('Payment status'!D:D, 'Payment status'!B:B, A10, 'Payment status'!G:G, "Pending")</f>
        <v>35.950000000000003</v>
      </c>
    </row>
    <row r="11" spans="1:3" x14ac:dyDescent="0.35">
      <c r="A11" s="1">
        <v>80001900</v>
      </c>
      <c r="B11" t="s">
        <v>97</v>
      </c>
      <c r="C11">
        <f>SUMIFS('Payment status'!D:D, 'Payment status'!B:B, A11, 'Payment status'!G:G, "Pending")</f>
        <v>10588.050000000001</v>
      </c>
    </row>
    <row r="12" spans="1:3" x14ac:dyDescent="0.35">
      <c r="A12" s="1">
        <v>80001911</v>
      </c>
      <c r="B12" t="s">
        <v>59</v>
      </c>
      <c r="C12">
        <f>SUMIFS('Payment status'!D:D, 'Payment status'!B:B, A12, 'Payment status'!G:G, "Pending")</f>
        <v>3758.5</v>
      </c>
    </row>
    <row r="13" spans="1:3" x14ac:dyDescent="0.35">
      <c r="A13" s="1">
        <v>80002003</v>
      </c>
      <c r="B13" t="s">
        <v>60</v>
      </c>
      <c r="C13">
        <f>SUMIFS('Payment status'!D:D, 'Payment status'!B:B, A13, 'Payment status'!G:G, "Pending")</f>
        <v>4579.43</v>
      </c>
    </row>
    <row r="14" spans="1:3" x14ac:dyDescent="0.35">
      <c r="A14" s="1">
        <v>80002417</v>
      </c>
      <c r="B14" t="s">
        <v>61</v>
      </c>
      <c r="C14">
        <f>SUMIFS('Payment status'!D:D, 'Payment status'!B:B, A14, 'Payment status'!G:G, "Pending")</f>
        <v>4720.5200000000004</v>
      </c>
    </row>
    <row r="15" spans="1:3" x14ac:dyDescent="0.35">
      <c r="A15" s="1">
        <v>80002043</v>
      </c>
      <c r="B15" t="s">
        <v>62</v>
      </c>
      <c r="C15">
        <f>SUMIFS('Payment status'!D:D, 'Payment status'!B:B, A15, 'Payment status'!G:G, "Pending")</f>
        <v>482.75</v>
      </c>
    </row>
    <row r="16" spans="1:3" x14ac:dyDescent="0.35">
      <c r="A16" s="1">
        <v>80002723</v>
      </c>
      <c r="B16" t="s">
        <v>98</v>
      </c>
      <c r="C16">
        <f>SUMIFS('Payment status'!D:D, 'Payment status'!B:B, A16, 'Payment status'!G:G, "Pending")</f>
        <v>6443.92</v>
      </c>
    </row>
    <row r="17" spans="1:3" x14ac:dyDescent="0.35">
      <c r="A17" s="1">
        <v>80002209</v>
      </c>
      <c r="B17" t="s">
        <v>64</v>
      </c>
      <c r="C17">
        <f>SUMIFS('Payment status'!D:D, 'Payment status'!B:B, A17, 'Payment status'!G:G, "Pending")</f>
        <v>429.44</v>
      </c>
    </row>
    <row r="18" spans="1:3" x14ac:dyDescent="0.35">
      <c r="A18" s="1">
        <v>80001802</v>
      </c>
      <c r="B18" t="s">
        <v>65</v>
      </c>
      <c r="C18">
        <f>SUMIFS('Payment status'!D:D, 'Payment status'!B:B, A18, 'Payment status'!G:G, "Pending")</f>
        <v>754.09</v>
      </c>
    </row>
    <row r="19" spans="1:3" x14ac:dyDescent="0.35">
      <c r="A19" s="1">
        <v>80002091</v>
      </c>
      <c r="B19" t="s">
        <v>66</v>
      </c>
      <c r="C19">
        <f>SUMIFS('Payment status'!D:D, 'Payment status'!B:B, A19, 'Payment status'!G:G, "Pending")</f>
        <v>275.67</v>
      </c>
    </row>
    <row r="20" spans="1:3" x14ac:dyDescent="0.35">
      <c r="A20" s="1">
        <v>80001982</v>
      </c>
      <c r="B20" t="s">
        <v>67</v>
      </c>
      <c r="C20">
        <f>SUMIFS('Payment status'!D:D, 'Payment status'!B:B, A20, 'Payment status'!G:G, "Pending")</f>
        <v>7844.32</v>
      </c>
    </row>
    <row r="21" spans="1:3" x14ac:dyDescent="0.35">
      <c r="A21" s="1">
        <v>80002840</v>
      </c>
      <c r="B21" t="s">
        <v>68</v>
      </c>
      <c r="C21">
        <f>SUMIFS('Payment status'!D:D, 'Payment status'!B:B, A21, 'Payment status'!G:G, "Pending")</f>
        <v>21332.2</v>
      </c>
    </row>
    <row r="22" spans="1:3" x14ac:dyDescent="0.35">
      <c r="A22" s="1">
        <v>80002190</v>
      </c>
      <c r="B22" t="s">
        <v>69</v>
      </c>
      <c r="C22">
        <f>SUMIFS('Payment status'!D:D, 'Payment status'!B:B, A22, 'Payment status'!G:G, "Pending")</f>
        <v>321.43</v>
      </c>
    </row>
    <row r="23" spans="1:3" x14ac:dyDescent="0.35">
      <c r="A23" s="1">
        <v>80002499</v>
      </c>
      <c r="B23" t="s">
        <v>70</v>
      </c>
      <c r="C23">
        <f>SUMIFS('Payment status'!D:D, 'Payment status'!B:B, A23, 'Payment status'!G:G, "Pending")</f>
        <v>919.23</v>
      </c>
    </row>
    <row r="24" spans="1:3" x14ac:dyDescent="0.35">
      <c r="A24" s="1">
        <v>80002817</v>
      </c>
      <c r="B24" t="s">
        <v>71</v>
      </c>
      <c r="C24">
        <f>SUMIFS('Payment status'!D:D, 'Payment status'!B:B, A24, 'Payment status'!G:G, "Pending")</f>
        <v>7876</v>
      </c>
    </row>
    <row r="25" spans="1:3" x14ac:dyDescent="0.35">
      <c r="A25" s="1">
        <v>80002801</v>
      </c>
      <c r="B25" t="s">
        <v>72</v>
      </c>
      <c r="C25">
        <f>SUMIFS('Payment status'!D:D, 'Payment status'!B:B, A25, 'Payment status'!G:G, "Pending")</f>
        <v>9898.17</v>
      </c>
    </row>
  </sheetData>
  <autoFilter ref="A5:C5" xr:uid="{CE13A0BC-D2C8-40C9-95CB-C817755FF7A4}"/>
  <mergeCells count="1">
    <mergeCell ref="A1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Payment status</vt:lpstr>
      <vt:lpstr>Liability by 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Cieloch</dc:creator>
  <cp:lastModifiedBy>Paulina Cieloch</cp:lastModifiedBy>
  <dcterms:created xsi:type="dcterms:W3CDTF">2015-06-05T18:19:34Z</dcterms:created>
  <dcterms:modified xsi:type="dcterms:W3CDTF">2024-10-30T20:26:21Z</dcterms:modified>
</cp:coreProperties>
</file>